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2"/>
  <workbookPr hidePivotFieldList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shuvo\Downloads\"/>
    </mc:Choice>
  </mc:AlternateContent>
  <xr:revisionPtr revIDLastSave="137" documentId="13_ncr:1_{C04BE6AD-C510-473B-81DB-281DD53CA162}" xr6:coauthVersionLast="47" xr6:coauthVersionMax="47" xr10:uidLastSave="{6DCEFCB0-000F-4F1C-8800-4336013508D5}"/>
  <bookViews>
    <workbookView xWindow="28680" yWindow="-120" windowWidth="29040" windowHeight="15720" firstSheet="4" activeTab="3" xr2:uid="{00000000-000D-0000-FFFF-FFFF00000000}"/>
  </bookViews>
  <sheets>
    <sheet name="Prog I" sheetId="1" r:id="rId1"/>
    <sheet name="Prog II" sheetId="2" r:id="rId2"/>
    <sheet name="Data Str" sheetId="3" r:id="rId3"/>
    <sheet name="Sheet1" sheetId="4" r:id="rId4"/>
    <sheet name="Sheet2" sheetId="5" r:id="rId5"/>
  </sheets>
  <externalReferences>
    <externalReference r:id="rId6"/>
  </externalReferences>
  <definedNames>
    <definedName name="__MeasureNames__">'[1]#REF!'!$A$1</definedName>
    <definedName name="__ViewNames__">'[1]#REF!'!$A$2:$A$3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L25" i="1"/>
  <c r="L24" i="1"/>
  <c r="L23" i="1"/>
  <c r="L22" i="1"/>
  <c r="L21" i="1"/>
  <c r="L20" i="1"/>
  <c r="L12" i="1"/>
  <c r="L11" i="1"/>
  <c r="L10" i="1"/>
  <c r="L9" i="1"/>
  <c r="L8" i="1"/>
  <c r="L7" i="1"/>
  <c r="L6" i="1"/>
  <c r="N23" i="2"/>
  <c r="N22" i="2"/>
  <c r="N21" i="2"/>
  <c r="N20" i="2"/>
  <c r="N19" i="2"/>
  <c r="N18" i="2"/>
  <c r="N11" i="2"/>
  <c r="N10" i="2"/>
  <c r="N9" i="2"/>
  <c r="N8" i="2"/>
  <c r="N7" i="2"/>
  <c r="N6" i="2"/>
  <c r="N27" i="3"/>
  <c r="N26" i="3"/>
  <c r="N25" i="3"/>
  <c r="N24" i="3"/>
  <c r="N23" i="3"/>
  <c r="N22" i="3"/>
  <c r="B26" i="1"/>
  <c r="C19" i="1" s="1"/>
  <c r="B13" i="1"/>
  <c r="C11" i="1" s="1"/>
  <c r="B24" i="3"/>
  <c r="C19" i="3" s="1"/>
  <c r="B12" i="3"/>
  <c r="B24" i="2"/>
  <c r="B12" i="2"/>
  <c r="C10" i="2" s="1"/>
  <c r="C23" i="2"/>
  <c r="C22" i="2"/>
  <c r="C21" i="2"/>
  <c r="C20" i="2"/>
  <c r="C19" i="2"/>
  <c r="C18" i="2"/>
  <c r="N10" i="3" l="1"/>
  <c r="N9" i="3"/>
  <c r="N8" i="3"/>
  <c r="C8" i="3"/>
  <c r="N7" i="3"/>
  <c r="N6" i="3"/>
  <c r="N5" i="3"/>
  <c r="C25" i="1"/>
  <c r="C24" i="1"/>
  <c r="C20" i="1"/>
  <c r="C26" i="1" s="1"/>
  <c r="C23" i="1"/>
  <c r="C22" i="1"/>
  <c r="D22" i="1" s="1"/>
  <c r="C21" i="1"/>
  <c r="C9" i="1"/>
  <c r="D9" i="1" s="1"/>
  <c r="D13" i="1" s="1"/>
  <c r="C7" i="1"/>
  <c r="C6" i="1"/>
  <c r="C12" i="1"/>
  <c r="C10" i="1"/>
  <c r="C8" i="1"/>
  <c r="D6" i="1" s="1"/>
  <c r="C20" i="3"/>
  <c r="C10" i="3"/>
  <c r="C11" i="3"/>
  <c r="C22" i="3"/>
  <c r="C21" i="3"/>
  <c r="C6" i="3"/>
  <c r="C7" i="3"/>
  <c r="C23" i="3"/>
  <c r="C9" i="3"/>
  <c r="C18" i="3"/>
  <c r="C8" i="2"/>
  <c r="C6" i="2"/>
  <c r="C11" i="2"/>
  <c r="C7" i="2"/>
  <c r="C12" i="2" s="1"/>
  <c r="C24" i="2"/>
  <c r="D21" i="2"/>
  <c r="C9" i="2"/>
  <c r="D9" i="2"/>
  <c r="D18" i="2"/>
  <c r="D19" i="1"/>
  <c r="D26" i="1" s="1"/>
  <c r="C13" i="1" l="1"/>
  <c r="C24" i="3"/>
  <c r="D18" i="3"/>
  <c r="D9" i="3"/>
  <c r="C12" i="3"/>
  <c r="D6" i="3"/>
  <c r="D12" i="3" s="1"/>
  <c r="D21" i="3"/>
  <c r="D6" i="2"/>
  <c r="D12" i="2" s="1"/>
  <c r="D24" i="2"/>
  <c r="D24" i="3" l="1"/>
</calcChain>
</file>

<file path=xl/sharedStrings.xml><?xml version="1.0" encoding="utf-8"?>
<sst xmlns="http://schemas.openxmlformats.org/spreadsheetml/2006/main" count="177" uniqueCount="36">
  <si>
    <t>Programming I</t>
  </si>
  <si>
    <t>Spring 2022</t>
  </si>
  <si>
    <t>Taught as COMS 2104</t>
  </si>
  <si>
    <t>Final Grade</t>
  </si>
  <si>
    <t>Grade</t>
  </si>
  <si>
    <t>No. of Student</t>
  </si>
  <si>
    <t>Percentage</t>
  </si>
  <si>
    <t>A</t>
  </si>
  <si>
    <t>Successful (A, B, C)</t>
  </si>
  <si>
    <t>B</t>
  </si>
  <si>
    <t>C</t>
  </si>
  <si>
    <t>D</t>
  </si>
  <si>
    <t>Unsuccessful (AU, D, F, W, I)</t>
  </si>
  <si>
    <t>F</t>
  </si>
  <si>
    <t>AU</t>
  </si>
  <si>
    <t>W</t>
  </si>
  <si>
    <t>Totals</t>
  </si>
  <si>
    <t>Successful</t>
  </si>
  <si>
    <t>Unsuccessful</t>
  </si>
  <si>
    <t>Fall 2022</t>
  </si>
  <si>
    <t>Taught as COMS 1013/1011</t>
  </si>
  <si>
    <t>2015-2019</t>
  </si>
  <si>
    <t>Proposed</t>
  </si>
  <si>
    <t>DFWI</t>
  </si>
  <si>
    <t>WN</t>
  </si>
  <si>
    <t>Programming II</t>
  </si>
  <si>
    <t>Data Structures</t>
  </si>
  <si>
    <t>COMS 2104</t>
  </si>
  <si>
    <t>COMS 2203</t>
  </si>
  <si>
    <t>COMS 2213</t>
  </si>
  <si>
    <t>Visiting tutoring/help lab in person</t>
  </si>
  <si>
    <t>Connected tutoring/help lab via webex</t>
  </si>
  <si>
    <t>Connected tutoring/help lab via email</t>
  </si>
  <si>
    <t>Connected Instructor outside Classroom</t>
  </si>
  <si>
    <t>Connected another student who is good at the subject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</si>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</sst>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libri"/>
    </font>
    <font>
      <sz val="10"/>
      <name val="Arial"/>
    </font>
    <font>
      <b/>
      <sz val="11"/>
      <name val="Calibri"/>
      <family val="2"/>
    </font>
    <font>
      <b/>
      <sz val="20"/>
      <name val="Calibri"/>
      <family val="2"/>
    </font>
    <font>
      <sz val="11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0" xfId="0" applyFill="1"/>
    <xf numFmtId="164" fontId="0" fillId="2" borderId="0" xfId="1" applyNumberFormat="1" applyFont="1" applyFill="1"/>
    <xf numFmtId="0" fontId="0" fillId="3" borderId="0" xfId="0" applyFill="1"/>
    <xf numFmtId="164" fontId="0" fillId="3" borderId="0" xfId="1" applyNumberFormat="1" applyFont="1" applyFill="1"/>
    <xf numFmtId="164" fontId="0" fillId="2" borderId="0" xfId="0" applyNumberFormat="1" applyFill="1"/>
    <xf numFmtId="164" fontId="0" fillId="3" borderId="0" xfId="0" applyNumberFormat="1" applyFill="1"/>
    <xf numFmtId="0" fontId="3" fillId="0" borderId="0" xfId="0" applyFont="1"/>
    <xf numFmtId="0" fontId="0" fillId="0" borderId="1" xfId="1" applyNumberFormat="1" applyFont="1" applyBorder="1"/>
    <xf numFmtId="10" fontId="0" fillId="0" borderId="0" xfId="0" applyNumberFormat="1"/>
    <xf numFmtId="0" fontId="4" fillId="4" borderId="0" xfId="0" applyFont="1" applyFill="1"/>
    <xf numFmtId="164" fontId="4" fillId="4" borderId="0" xfId="1" applyNumberFormat="1" applyFont="1" applyFill="1"/>
    <xf numFmtId="164" fontId="0" fillId="0" borderId="0" xfId="0" applyNumberFormat="1"/>
    <xf numFmtId="9" fontId="0" fillId="0" borderId="0" xfId="0" applyNumberFormat="1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Programming I (Spring 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 I'!$K$5</c:f>
              <c:strCache>
                <c:ptCount val="1"/>
                <c:pt idx="0">
                  <c:v>No. of Student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'Prog I'!$J$6:$J$14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  <c:pt idx="5">
                  <c:v>AU</c:v>
                </c:pt>
                <c:pt idx="6">
                  <c:v>W</c:v>
                </c:pt>
                <c:pt idx="7">
                  <c:v>Successful</c:v>
                </c:pt>
                <c:pt idx="8">
                  <c:v>Unsuccessful</c:v>
                </c:pt>
              </c:strCache>
            </c:strRef>
          </c:cat>
          <c:val>
            <c:numRef>
              <c:f>'Prog I'!$K$6:$K$14</c:f>
              <c:numCache>
                <c:formatCode>General</c:formatCode>
                <c:ptCount val="9"/>
                <c:pt idx="0">
                  <c:v>53</c:v>
                </c:pt>
                <c:pt idx="1">
                  <c:v>27</c:v>
                </c:pt>
                <c:pt idx="2">
                  <c:v>10</c:v>
                </c:pt>
                <c:pt idx="3">
                  <c:v>9</c:v>
                </c:pt>
                <c:pt idx="4">
                  <c:v>19</c:v>
                </c:pt>
                <c:pt idx="5">
                  <c:v>1</c:v>
                </c:pt>
                <c:pt idx="6">
                  <c:v>21</c:v>
                </c:pt>
                <c:pt idx="7">
                  <c:v>90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C-4C6D-AC51-4CE669AA5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1949791968"/>
        <c:axId val="1949790720"/>
      </c:barChart>
      <c:lineChart>
        <c:grouping val="standard"/>
        <c:varyColors val="0"/>
        <c:ser>
          <c:idx val="1"/>
          <c:order val="1"/>
          <c:tx>
            <c:strRef>
              <c:f>'Prog I'!$L$5</c:f>
              <c:strCache>
                <c:ptCount val="1"/>
                <c:pt idx="0">
                  <c:v>Percentage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'Prog I'!$J$6:$J$14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  <c:pt idx="5">
                  <c:v>AU</c:v>
                </c:pt>
                <c:pt idx="6">
                  <c:v>W</c:v>
                </c:pt>
                <c:pt idx="7">
                  <c:v>Successful</c:v>
                </c:pt>
                <c:pt idx="8">
                  <c:v>Unsuccessful</c:v>
                </c:pt>
              </c:strCache>
            </c:strRef>
          </c:cat>
          <c:val>
            <c:numRef>
              <c:f>'Prog I'!$L$6:$L$14</c:f>
              <c:numCache>
                <c:formatCode>0.0%</c:formatCode>
                <c:ptCount val="9"/>
                <c:pt idx="0">
                  <c:v>0.37857142857142856</c:v>
                </c:pt>
                <c:pt idx="1">
                  <c:v>0.19285714285714287</c:v>
                </c:pt>
                <c:pt idx="2">
                  <c:v>7.1428571428571425E-2</c:v>
                </c:pt>
                <c:pt idx="3">
                  <c:v>6.4285714285714279E-2</c:v>
                </c:pt>
                <c:pt idx="4">
                  <c:v>0.1357142857142857</c:v>
                </c:pt>
                <c:pt idx="5">
                  <c:v>7.1428571428571426E-3</c:v>
                </c:pt>
                <c:pt idx="6">
                  <c:v>0.15</c:v>
                </c:pt>
                <c:pt idx="7">
                  <c:v>0.64300000000000002</c:v>
                </c:pt>
                <c:pt idx="8">
                  <c:v>0.35699999999999998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3C-4C6D-AC51-4CE669AA5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791552"/>
        <c:axId val="1949791136"/>
      </c:lineChart>
      <c:catAx>
        <c:axId val="194979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790720"/>
        <c:crosses val="autoZero"/>
        <c:auto val="1"/>
        <c:lblAlgn val="ctr"/>
        <c:lblOffset val="100"/>
        <c:noMultiLvlLbl val="0"/>
      </c:catAx>
      <c:valAx>
        <c:axId val="194979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791968"/>
        <c:crosses val="autoZero"/>
        <c:crossBetween val="between"/>
      </c:valAx>
      <c:valAx>
        <c:axId val="194979113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791552"/>
        <c:crosses val="max"/>
        <c:crossBetween val="between"/>
      </c:valAx>
      <c:catAx>
        <c:axId val="19497915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979113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Programming I (Fall 2022)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 I'!$K$19</c:f>
              <c:strCache>
                <c:ptCount val="1"/>
                <c:pt idx="0">
                  <c:v>No. of Student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'Prog I'!$J$20:$J$28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  <c:pt idx="5">
                  <c:v>W</c:v>
                </c:pt>
                <c:pt idx="6">
                  <c:v>WN</c:v>
                </c:pt>
                <c:pt idx="7">
                  <c:v>Successful</c:v>
                </c:pt>
                <c:pt idx="8">
                  <c:v>Unsuccessful</c:v>
                </c:pt>
              </c:strCache>
            </c:strRef>
          </c:cat>
          <c:val>
            <c:numRef>
              <c:f>'Prog I'!$K$20:$K$28</c:f>
              <c:numCache>
                <c:formatCode>General</c:formatCode>
                <c:ptCount val="9"/>
                <c:pt idx="0">
                  <c:v>23</c:v>
                </c:pt>
                <c:pt idx="1">
                  <c:v>15</c:v>
                </c:pt>
                <c:pt idx="2">
                  <c:v>9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47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5-4853-B82F-DCD7F2B5A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728912"/>
        <c:axId val="1782729744"/>
      </c:barChart>
      <c:lineChart>
        <c:grouping val="standard"/>
        <c:varyColors val="0"/>
        <c:ser>
          <c:idx val="1"/>
          <c:order val="1"/>
          <c:tx>
            <c:strRef>
              <c:f>'Prog I'!$L$19</c:f>
              <c:strCache>
                <c:ptCount val="1"/>
                <c:pt idx="0">
                  <c:v>Percentage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'Prog I'!$J$20:$J$28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  <c:pt idx="5">
                  <c:v>W</c:v>
                </c:pt>
                <c:pt idx="6">
                  <c:v>WN</c:v>
                </c:pt>
                <c:pt idx="7">
                  <c:v>Successful</c:v>
                </c:pt>
                <c:pt idx="8">
                  <c:v>Unsuccessful</c:v>
                </c:pt>
              </c:strCache>
            </c:strRef>
          </c:cat>
          <c:val>
            <c:numRef>
              <c:f>'Prog I'!$L$20:$L$28</c:f>
              <c:numCache>
                <c:formatCode>0.0%</c:formatCode>
                <c:ptCount val="9"/>
                <c:pt idx="0">
                  <c:v>0.37704918032786883</c:v>
                </c:pt>
                <c:pt idx="1">
                  <c:v>0.24590163934426229</c:v>
                </c:pt>
                <c:pt idx="2">
                  <c:v>0.14754098360655737</c:v>
                </c:pt>
                <c:pt idx="3">
                  <c:v>6.5573770491803282E-2</c:v>
                </c:pt>
                <c:pt idx="4">
                  <c:v>4.9180327868852458E-2</c:v>
                </c:pt>
                <c:pt idx="5">
                  <c:v>6.5573770491803282E-2</c:v>
                </c:pt>
                <c:pt idx="6">
                  <c:v>4.9180327868852458E-2</c:v>
                </c:pt>
                <c:pt idx="7">
                  <c:v>0.77</c:v>
                </c:pt>
                <c:pt idx="8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5-4853-B82F-DCD7F2B5A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2728496"/>
        <c:axId val="1782730160"/>
      </c:lineChart>
      <c:catAx>
        <c:axId val="178272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29744"/>
        <c:crosses val="autoZero"/>
        <c:auto val="1"/>
        <c:lblAlgn val="ctr"/>
        <c:lblOffset val="100"/>
        <c:noMultiLvlLbl val="0"/>
      </c:catAx>
      <c:valAx>
        <c:axId val="17827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28912"/>
        <c:crosses val="autoZero"/>
        <c:crossBetween val="between"/>
      </c:valAx>
      <c:valAx>
        <c:axId val="1782730160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28496"/>
        <c:crosses val="max"/>
        <c:crossBetween val="between"/>
      </c:valAx>
      <c:catAx>
        <c:axId val="1782728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273016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DFWI (COMS 2104)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 I'!$Y$18</c:f>
              <c:strCache>
                <c:ptCount val="1"/>
                <c:pt idx="0">
                  <c:v>DFWI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'Prog I'!$Z$17:$AC$17</c:f>
              <c:strCache>
                <c:ptCount val="4"/>
                <c:pt idx="0">
                  <c:v>2015-2019</c:v>
                </c:pt>
                <c:pt idx="1">
                  <c:v>Spring 2022</c:v>
                </c:pt>
                <c:pt idx="2">
                  <c:v>Fall 2022</c:v>
                </c:pt>
                <c:pt idx="3">
                  <c:v>Proposed</c:v>
                </c:pt>
              </c:strCache>
            </c:strRef>
          </c:cat>
          <c:val>
            <c:numRef>
              <c:f>'Prog I'!$Z$18:$AC$18</c:f>
              <c:numCache>
                <c:formatCode>0.00%</c:formatCode>
                <c:ptCount val="4"/>
                <c:pt idx="0" formatCode="0%">
                  <c:v>0.32</c:v>
                </c:pt>
                <c:pt idx="1">
                  <c:v>0.35699999999999998</c:v>
                </c:pt>
                <c:pt idx="2">
                  <c:v>0.23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1-4B99-A54F-6080212E86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4"/>
        <c:axId val="2014579024"/>
        <c:axId val="2014601072"/>
      </c:barChart>
      <c:catAx>
        <c:axId val="201457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601072"/>
        <c:crosses val="autoZero"/>
        <c:auto val="1"/>
        <c:lblAlgn val="ctr"/>
        <c:lblOffset val="100"/>
        <c:noMultiLvlLbl val="0"/>
      </c:catAx>
      <c:valAx>
        <c:axId val="20146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5790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DFWI(COMS )2104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 I'!$Y$18</c:f>
              <c:strCache>
                <c:ptCount val="1"/>
                <c:pt idx="0">
                  <c:v>DFWI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cat>
            <c:strRef>
              <c:f>'Prog I'!$Z$17:$AC$17</c:f>
              <c:strCache>
                <c:ptCount val="4"/>
                <c:pt idx="0">
                  <c:v>2015-2019</c:v>
                </c:pt>
                <c:pt idx="1">
                  <c:v>Spring 2022</c:v>
                </c:pt>
                <c:pt idx="2">
                  <c:v>Fall 2022</c:v>
                </c:pt>
                <c:pt idx="3">
                  <c:v>Proposed</c:v>
                </c:pt>
              </c:strCache>
            </c:strRef>
          </c:cat>
          <c:val>
            <c:numRef>
              <c:f>'Prog I'!$Z$18:$AC$18</c:f>
              <c:numCache>
                <c:formatCode>0.00%</c:formatCode>
                <c:ptCount val="4"/>
                <c:pt idx="0" formatCode="0%">
                  <c:v>0.32</c:v>
                </c:pt>
                <c:pt idx="1">
                  <c:v>0.35699999999999998</c:v>
                </c:pt>
                <c:pt idx="2">
                  <c:v>0.23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9-4395-B611-9B9906CDA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520184"/>
        <c:axId val="278575592"/>
      </c:barChart>
      <c:catAx>
        <c:axId val="118952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575592"/>
        <c:crosses val="autoZero"/>
        <c:auto val="1"/>
        <c:lblAlgn val="ctr"/>
        <c:lblOffset val="100"/>
        <c:noMultiLvlLbl val="0"/>
      </c:catAx>
      <c:valAx>
        <c:axId val="27857559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520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25400" cap="flat" cmpd="sng" algn="ctr">
            <a:noFill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Programming II (Spring 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 II'!$M$5</c:f>
              <c:strCache>
                <c:ptCount val="1"/>
                <c:pt idx="0">
                  <c:v>No. of Student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'Prog II'!$L$6:$L$13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  <c:pt idx="5">
                  <c:v>W</c:v>
                </c:pt>
                <c:pt idx="6">
                  <c:v>Successful</c:v>
                </c:pt>
                <c:pt idx="7">
                  <c:v>Unsuccessful</c:v>
                </c:pt>
              </c:strCache>
            </c:strRef>
          </c:cat>
          <c:val>
            <c:numRef>
              <c:f>'Prog II'!$M$6:$M$13</c:f>
              <c:numCache>
                <c:formatCode>General</c:formatCode>
                <c:ptCount val="8"/>
                <c:pt idx="0">
                  <c:v>17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24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C-4277-883C-2F397A4B7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1786970720"/>
        <c:axId val="1786977376"/>
      </c:barChart>
      <c:lineChart>
        <c:grouping val="standard"/>
        <c:varyColors val="0"/>
        <c:ser>
          <c:idx val="1"/>
          <c:order val="1"/>
          <c:tx>
            <c:strRef>
              <c:f>'Prog II'!$N$5</c:f>
              <c:strCache>
                <c:ptCount val="1"/>
                <c:pt idx="0">
                  <c:v>Percentage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'Prog II'!$L$6:$L$13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  <c:pt idx="5">
                  <c:v>W</c:v>
                </c:pt>
                <c:pt idx="6">
                  <c:v>Successful</c:v>
                </c:pt>
                <c:pt idx="7">
                  <c:v>Unsuccessful</c:v>
                </c:pt>
              </c:strCache>
            </c:strRef>
          </c:cat>
          <c:val>
            <c:numRef>
              <c:f>'Prog II'!$N$6:$N$13</c:f>
              <c:numCache>
                <c:formatCode>0.0%</c:formatCode>
                <c:ptCount val="8"/>
                <c:pt idx="0">
                  <c:v>0.47222222222222221</c:v>
                </c:pt>
                <c:pt idx="1">
                  <c:v>0.16666666666666666</c:v>
                </c:pt>
                <c:pt idx="2">
                  <c:v>2.7777777777777776E-2</c:v>
                </c:pt>
                <c:pt idx="3">
                  <c:v>0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0.66700000000000004</c:v>
                </c:pt>
                <c:pt idx="7">
                  <c:v>0.33300000000000002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C-4277-883C-2F397A4B7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972800"/>
        <c:axId val="1786974880"/>
      </c:lineChart>
      <c:catAx>
        <c:axId val="178697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977376"/>
        <c:crosses val="autoZero"/>
        <c:auto val="1"/>
        <c:lblAlgn val="ctr"/>
        <c:lblOffset val="100"/>
        <c:noMultiLvlLbl val="0"/>
      </c:catAx>
      <c:valAx>
        <c:axId val="178697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970720"/>
        <c:crosses val="autoZero"/>
        <c:crossBetween val="between"/>
      </c:valAx>
      <c:valAx>
        <c:axId val="1786974880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972800"/>
        <c:crosses val="max"/>
        <c:crossBetween val="between"/>
      </c:valAx>
      <c:catAx>
        <c:axId val="17869728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8697488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Programming II (Fall 2022)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 II'!$M$17</c:f>
              <c:strCache>
                <c:ptCount val="1"/>
                <c:pt idx="0">
                  <c:v>No. of Student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'Prog II'!$L$18:$L$25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  <c:pt idx="5">
                  <c:v>W</c:v>
                </c:pt>
                <c:pt idx="6">
                  <c:v>Successful</c:v>
                </c:pt>
                <c:pt idx="7">
                  <c:v>Unsuccessful</c:v>
                </c:pt>
              </c:strCache>
            </c:strRef>
          </c:cat>
          <c:val>
            <c:numRef>
              <c:f>'Prog II'!$M$18:$M$25</c:f>
              <c:numCache>
                <c:formatCode>General</c:formatCode>
                <c:ptCount val="8"/>
                <c:pt idx="0">
                  <c:v>61</c:v>
                </c:pt>
                <c:pt idx="1">
                  <c:v>7</c:v>
                </c:pt>
                <c:pt idx="2">
                  <c:v>4</c:v>
                </c:pt>
                <c:pt idx="3">
                  <c:v>0</c:v>
                </c:pt>
                <c:pt idx="4">
                  <c:v>3</c:v>
                </c:pt>
                <c:pt idx="5">
                  <c:v>10</c:v>
                </c:pt>
                <c:pt idx="6">
                  <c:v>72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D-4F20-B162-748E9F813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322368"/>
        <c:axId val="2050321952"/>
      </c:barChart>
      <c:lineChart>
        <c:grouping val="standard"/>
        <c:varyColors val="0"/>
        <c:ser>
          <c:idx val="1"/>
          <c:order val="1"/>
          <c:tx>
            <c:strRef>
              <c:f>'Prog II'!$N$17</c:f>
              <c:strCache>
                <c:ptCount val="1"/>
                <c:pt idx="0">
                  <c:v>Percentage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'Prog II'!$L$18:$L$25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  <c:pt idx="5">
                  <c:v>W</c:v>
                </c:pt>
                <c:pt idx="6">
                  <c:v>Successful</c:v>
                </c:pt>
                <c:pt idx="7">
                  <c:v>Unsuccessful</c:v>
                </c:pt>
              </c:strCache>
            </c:strRef>
          </c:cat>
          <c:val>
            <c:numRef>
              <c:f>'Prog II'!$N$18:$N$25</c:f>
              <c:numCache>
                <c:formatCode>0.0%</c:formatCode>
                <c:ptCount val="8"/>
                <c:pt idx="0">
                  <c:v>0.71764705882352942</c:v>
                </c:pt>
                <c:pt idx="1">
                  <c:v>8.2352941176470587E-2</c:v>
                </c:pt>
                <c:pt idx="2">
                  <c:v>4.7058823529411764E-2</c:v>
                </c:pt>
                <c:pt idx="3">
                  <c:v>0</c:v>
                </c:pt>
                <c:pt idx="4">
                  <c:v>3.5294117647058823E-2</c:v>
                </c:pt>
                <c:pt idx="5">
                  <c:v>0.11764705882352941</c:v>
                </c:pt>
                <c:pt idx="6">
                  <c:v>0.84699999999999998</c:v>
                </c:pt>
                <c:pt idx="7">
                  <c:v>0.153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AD-4F20-B162-748E9F813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324864"/>
        <c:axId val="2050323616"/>
      </c:lineChart>
      <c:catAx>
        <c:axId val="205032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21952"/>
        <c:crosses val="autoZero"/>
        <c:auto val="1"/>
        <c:lblAlgn val="ctr"/>
        <c:lblOffset val="100"/>
        <c:noMultiLvlLbl val="0"/>
      </c:catAx>
      <c:valAx>
        <c:axId val="205032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22368"/>
        <c:crosses val="autoZero"/>
        <c:crossBetween val="between"/>
      </c:valAx>
      <c:valAx>
        <c:axId val="205032361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24864"/>
        <c:crosses val="max"/>
        <c:crossBetween val="between"/>
      </c:valAx>
      <c:catAx>
        <c:axId val="2050324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032361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DFWI (COMS 2203)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 II'!$AC$11</c:f>
              <c:strCache>
                <c:ptCount val="1"/>
                <c:pt idx="0">
                  <c:v>DFWI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4"/>
            <c:dispRSqr val="0"/>
            <c:dispEq val="0"/>
          </c:trendline>
          <c:cat>
            <c:strRef>
              <c:f>'Prog II'!$AD$10:$AG$10</c:f>
              <c:strCache>
                <c:ptCount val="4"/>
                <c:pt idx="0">
                  <c:v>2015-2019</c:v>
                </c:pt>
                <c:pt idx="1">
                  <c:v>Spring 2022</c:v>
                </c:pt>
                <c:pt idx="2">
                  <c:v>Fall 2022</c:v>
                </c:pt>
                <c:pt idx="3">
                  <c:v>Proposed</c:v>
                </c:pt>
              </c:strCache>
            </c:strRef>
          </c:cat>
          <c:val>
            <c:numRef>
              <c:f>'Prog II'!$AD$11:$AG$11</c:f>
              <c:numCache>
                <c:formatCode>0%</c:formatCode>
                <c:ptCount val="4"/>
                <c:pt idx="0">
                  <c:v>0.35</c:v>
                </c:pt>
                <c:pt idx="1">
                  <c:v>0.33300000000000002</c:v>
                </c:pt>
                <c:pt idx="2">
                  <c:v>0.153</c:v>
                </c:pt>
                <c:pt idx="3" formatCode="0.00%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6-4924-8BCB-2054746661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3168480"/>
        <c:axId val="2043158912"/>
      </c:barChart>
      <c:catAx>
        <c:axId val="20431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158912"/>
        <c:crosses val="autoZero"/>
        <c:auto val="1"/>
        <c:lblAlgn val="ctr"/>
        <c:lblOffset val="100"/>
        <c:noMultiLvlLbl val="0"/>
      </c:catAx>
      <c:valAx>
        <c:axId val="204315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168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Structures</a:t>
            </a:r>
            <a:r>
              <a:rPr lang="en-US" baseline="0"/>
              <a:t>(Spring 2022)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Str'!$M$4</c:f>
              <c:strCache>
                <c:ptCount val="1"/>
                <c:pt idx="0">
                  <c:v>No. of Student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'Data Str'!$L$5:$L$12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  <c:pt idx="5">
                  <c:v>W</c:v>
                </c:pt>
                <c:pt idx="6">
                  <c:v>Successful</c:v>
                </c:pt>
                <c:pt idx="7">
                  <c:v>Unsuccessful</c:v>
                </c:pt>
              </c:strCache>
            </c:strRef>
          </c:cat>
          <c:val>
            <c:numRef>
              <c:f>'Data Str'!$M$5:$M$12</c:f>
              <c:numCache>
                <c:formatCode>General</c:formatCode>
                <c:ptCount val="8"/>
                <c:pt idx="0">
                  <c:v>32</c:v>
                </c:pt>
                <c:pt idx="1">
                  <c:v>12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52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C-49DB-850D-BF447725B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831616"/>
        <c:axId val="1950844096"/>
      </c:barChart>
      <c:lineChart>
        <c:grouping val="standard"/>
        <c:varyColors val="0"/>
        <c:ser>
          <c:idx val="1"/>
          <c:order val="1"/>
          <c:tx>
            <c:strRef>
              <c:f>'Data Str'!$N$4</c:f>
              <c:strCache>
                <c:ptCount val="1"/>
                <c:pt idx="0">
                  <c:v>Percentage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'Data Str'!$L$5:$L$12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  <c:pt idx="5">
                  <c:v>W</c:v>
                </c:pt>
                <c:pt idx="6">
                  <c:v>Successful</c:v>
                </c:pt>
                <c:pt idx="7">
                  <c:v>Unsuccessful</c:v>
                </c:pt>
              </c:strCache>
            </c:strRef>
          </c:cat>
          <c:val>
            <c:numRef>
              <c:f>'Data Str'!$N$5:$N$12</c:f>
              <c:numCache>
                <c:formatCode>0.0%</c:formatCode>
                <c:ptCount val="8"/>
                <c:pt idx="0">
                  <c:v>0.53333333333333333</c:v>
                </c:pt>
                <c:pt idx="1">
                  <c:v>0.2</c:v>
                </c:pt>
                <c:pt idx="2">
                  <c:v>0.13333333333333333</c:v>
                </c:pt>
                <c:pt idx="3">
                  <c:v>0.05</c:v>
                </c:pt>
                <c:pt idx="4">
                  <c:v>1.6666666666666666E-2</c:v>
                </c:pt>
                <c:pt idx="5">
                  <c:v>6.6666666666666666E-2</c:v>
                </c:pt>
                <c:pt idx="6" formatCode="0.00%">
                  <c:v>0.86699999999999999</c:v>
                </c:pt>
                <c:pt idx="7" formatCode="0.00%">
                  <c:v>0.13300000000000001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5C-49DB-850D-BF447725B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832448"/>
        <c:axId val="1950842848"/>
      </c:lineChart>
      <c:catAx>
        <c:axId val="195083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844096"/>
        <c:crosses val="autoZero"/>
        <c:auto val="1"/>
        <c:lblAlgn val="ctr"/>
        <c:lblOffset val="100"/>
        <c:noMultiLvlLbl val="0"/>
      </c:catAx>
      <c:valAx>
        <c:axId val="19508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831616"/>
        <c:crosses val="autoZero"/>
        <c:crossBetween val="between"/>
      </c:valAx>
      <c:valAx>
        <c:axId val="195084284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832448"/>
        <c:crosses val="max"/>
        <c:crossBetween val="between"/>
      </c:valAx>
      <c:catAx>
        <c:axId val="1950832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508428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Data Structures</a:t>
            </a:r>
            <a:r>
              <a:rPr lang="en-US" sz="1800" b="1" i="0" baseline="0">
                <a:effectLst/>
              </a:rPr>
              <a:t>(Fall 2022)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9212717929651714"/>
          <c:y val="5.6193297295521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Str'!$M$21</c:f>
              <c:strCache>
                <c:ptCount val="1"/>
                <c:pt idx="0">
                  <c:v>No. of Student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'Data Str'!$L$22:$L$29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  <c:pt idx="5">
                  <c:v>W</c:v>
                </c:pt>
                <c:pt idx="6">
                  <c:v>Successful</c:v>
                </c:pt>
                <c:pt idx="7">
                  <c:v>Unsuccessful</c:v>
                </c:pt>
              </c:strCache>
            </c:strRef>
          </c:cat>
          <c:val>
            <c:numRef>
              <c:f>'Data Str'!$M$22:$M$29</c:f>
              <c:numCache>
                <c:formatCode>General</c:formatCode>
                <c:ptCount val="8"/>
                <c:pt idx="0">
                  <c:v>10</c:v>
                </c:pt>
                <c:pt idx="1">
                  <c:v>6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8-4BD4-8444-A909F31D6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582096"/>
        <c:axId val="2016595408"/>
      </c:barChart>
      <c:lineChart>
        <c:grouping val="standard"/>
        <c:varyColors val="0"/>
        <c:ser>
          <c:idx val="1"/>
          <c:order val="1"/>
          <c:tx>
            <c:strRef>
              <c:f>'Data Str'!$N$21</c:f>
              <c:strCache>
                <c:ptCount val="1"/>
                <c:pt idx="0">
                  <c:v>Percentage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'Data Str'!$L$22:$L$29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  <c:pt idx="5">
                  <c:v>W</c:v>
                </c:pt>
                <c:pt idx="6">
                  <c:v>Successful</c:v>
                </c:pt>
                <c:pt idx="7">
                  <c:v>Unsuccessful</c:v>
                </c:pt>
              </c:strCache>
            </c:strRef>
          </c:cat>
          <c:val>
            <c:numRef>
              <c:f>'Data Str'!$N$22:$N$29</c:f>
              <c:numCache>
                <c:formatCode>0.0%</c:formatCode>
                <c:ptCount val="8"/>
                <c:pt idx="0">
                  <c:v>0.5</c:v>
                </c:pt>
                <c:pt idx="1">
                  <c:v>0.3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%">
                  <c:v>1</c:v>
                </c:pt>
                <c:pt idx="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28-4BD4-8444-A909F31D6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6594992"/>
        <c:axId val="2016592496"/>
      </c:lineChart>
      <c:catAx>
        <c:axId val="201658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595408"/>
        <c:crosses val="autoZero"/>
        <c:auto val="1"/>
        <c:lblAlgn val="ctr"/>
        <c:lblOffset val="100"/>
        <c:noMultiLvlLbl val="0"/>
      </c:catAx>
      <c:valAx>
        <c:axId val="201659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582096"/>
        <c:crosses val="autoZero"/>
        <c:crossBetween val="between"/>
      </c:valAx>
      <c:valAx>
        <c:axId val="201659249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594992"/>
        <c:crosses val="max"/>
        <c:crossBetween val="between"/>
      </c:valAx>
      <c:catAx>
        <c:axId val="2016594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1659249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DFWI (COMS 2213)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Str'!$AA$11</c:f>
              <c:strCache>
                <c:ptCount val="1"/>
                <c:pt idx="0">
                  <c:v>DFWI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4"/>
            <c:dispRSqr val="0"/>
            <c:dispEq val="0"/>
          </c:trendline>
          <c:cat>
            <c:strRef>
              <c:f>'Data Str'!$AB$10:$AE$10</c:f>
              <c:strCache>
                <c:ptCount val="4"/>
                <c:pt idx="0">
                  <c:v>2015-2019</c:v>
                </c:pt>
                <c:pt idx="1">
                  <c:v>Spring 2022</c:v>
                </c:pt>
                <c:pt idx="2">
                  <c:v>Fall 2022</c:v>
                </c:pt>
                <c:pt idx="3">
                  <c:v>Proposed</c:v>
                </c:pt>
              </c:strCache>
            </c:strRef>
          </c:cat>
          <c:val>
            <c:numRef>
              <c:f>'Data Str'!$AB$11:$AE$11</c:f>
              <c:numCache>
                <c:formatCode>0.0%</c:formatCode>
                <c:ptCount val="4"/>
                <c:pt idx="0" formatCode="0%">
                  <c:v>0.27</c:v>
                </c:pt>
                <c:pt idx="1">
                  <c:v>0.13300000000000001</c:v>
                </c:pt>
                <c:pt idx="2" formatCode="0%">
                  <c:v>0</c:v>
                </c:pt>
                <c:pt idx="3" formatCode="0.00%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0-4916-8C9F-458DC690C0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455184"/>
        <c:axId val="106440624"/>
      </c:barChart>
      <c:catAx>
        <c:axId val="10645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0624"/>
        <c:crosses val="autoZero"/>
        <c:auto val="1"/>
        <c:lblAlgn val="ctr"/>
        <c:lblOffset val="100"/>
        <c:noMultiLvlLbl val="0"/>
      </c:catAx>
      <c:valAx>
        <c:axId val="10644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5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DFWI (COMS 2104)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DFWI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trendline>
            <c:name>Change in DFWI</c:nam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cat>
            <c:strRef>
              <c:f>Sheet1!$B$2:$D$2</c:f>
              <c:strCache>
                <c:ptCount val="3"/>
                <c:pt idx="0">
                  <c:v>2015-2019</c:v>
                </c:pt>
                <c:pt idx="1">
                  <c:v>Spring 2022</c:v>
                </c:pt>
                <c:pt idx="2">
                  <c:v>Fall 2022</c:v>
                </c:pt>
              </c:strCache>
            </c:strRef>
          </c:cat>
          <c:val>
            <c:numRef>
              <c:f>Sheet1!$B$3:$D$3</c:f>
              <c:numCache>
                <c:formatCode>0.00%</c:formatCode>
                <c:ptCount val="3"/>
                <c:pt idx="0" formatCode="0%">
                  <c:v>0.32</c:v>
                </c:pt>
                <c:pt idx="1">
                  <c:v>0.35699999999999998</c:v>
                </c:pt>
                <c:pt idx="2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4-4768-B3DF-69844A992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615432"/>
        <c:axId val="1722529816"/>
      </c:barChart>
      <c:catAx>
        <c:axId val="174161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529816"/>
        <c:crosses val="autoZero"/>
        <c:auto val="1"/>
        <c:lblAlgn val="ctr"/>
        <c:lblOffset val="100"/>
        <c:noMultiLvlLbl val="0"/>
      </c:catAx>
      <c:valAx>
        <c:axId val="172252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154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DFWI (COMS 2203)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DFWI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trendline>
            <c:name>Change in DFWI</c:nam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cat>
            <c:strRef>
              <c:f>Sheet1!$K$2:$M$2</c:f>
              <c:strCache>
                <c:ptCount val="3"/>
                <c:pt idx="0">
                  <c:v>2015-2019</c:v>
                </c:pt>
                <c:pt idx="1">
                  <c:v>Spring 2022</c:v>
                </c:pt>
                <c:pt idx="2">
                  <c:v>Fall 2022</c:v>
                </c:pt>
              </c:strCache>
            </c:strRef>
          </c:cat>
          <c:val>
            <c:numRef>
              <c:f>Sheet1!$K$3:$M$3</c:f>
              <c:numCache>
                <c:formatCode>0%</c:formatCode>
                <c:ptCount val="3"/>
                <c:pt idx="0">
                  <c:v>0.35</c:v>
                </c:pt>
                <c:pt idx="1">
                  <c:v>0.33300000000000002</c:v>
                </c:pt>
                <c:pt idx="2">
                  <c:v>0.153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51-4E76-928F-091C75814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329304"/>
        <c:axId val="23145832"/>
      </c:barChart>
      <c:catAx>
        <c:axId val="445329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45832"/>
        <c:crosses val="autoZero"/>
        <c:auto val="1"/>
        <c:lblAlgn val="ctr"/>
        <c:lblOffset val="100"/>
        <c:noMultiLvlLbl val="0"/>
      </c:catAx>
      <c:valAx>
        <c:axId val="2314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293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DFWI (COMS 2213)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Sheet1!$S$3</c:f>
              <c:strCache>
                <c:ptCount val="1"/>
                <c:pt idx="0">
                  <c:v>DFWI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trendline>
            <c:name>Change in DFWI</c:nam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cat>
            <c:strRef>
              <c:f>Sheet1!$T$2:$V$2</c:f>
              <c:strCache>
                <c:ptCount val="3"/>
                <c:pt idx="0">
                  <c:v>2015-2019</c:v>
                </c:pt>
                <c:pt idx="1">
                  <c:v>Spring 2022</c:v>
                </c:pt>
                <c:pt idx="2">
                  <c:v>Fall 2022</c:v>
                </c:pt>
              </c:strCache>
            </c:strRef>
          </c:cat>
          <c:val>
            <c:numRef>
              <c:f>Sheet1!$T$3:$V$3</c:f>
              <c:numCache>
                <c:formatCode>0.0%</c:formatCode>
                <c:ptCount val="3"/>
                <c:pt idx="0" formatCode="0%">
                  <c:v>0.27</c:v>
                </c:pt>
                <c:pt idx="1">
                  <c:v>0.13300000000000001</c:v>
                </c:pt>
                <c:pt idx="2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F-4140-995E-C3C97A6D3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342744"/>
        <c:axId val="1220665368"/>
      </c:barChart>
      <c:catAx>
        <c:axId val="445342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665368"/>
        <c:crosses val="autoZero"/>
        <c:auto val="1"/>
        <c:lblAlgn val="ctr"/>
        <c:lblOffset val="100"/>
        <c:noMultiLvlLbl val="0"/>
      </c:catAx>
      <c:valAx>
        <c:axId val="122066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42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400050</xdr:colOff>
      <xdr:row>3</xdr:row>
      <xdr:rowOff>39687</xdr:rowOff>
    </xdr:from>
    <xdr:to>
      <xdr:col>22</xdr:col>
      <xdr:colOff>600075</xdr:colOff>
      <xdr:row>17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04A281-774F-08A6-9049-F0C1DE45A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352425</xdr:colOff>
      <xdr:row>18</xdr:row>
      <xdr:rowOff>77787</xdr:rowOff>
    </xdr:from>
    <xdr:to>
      <xdr:col>22</xdr:col>
      <xdr:colOff>476250</xdr:colOff>
      <xdr:row>37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393BE6-9D28-1E46-941C-0C8E5CA25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723900</xdr:colOff>
      <xdr:row>19</xdr:row>
      <xdr:rowOff>55562</xdr:rowOff>
    </xdr:from>
    <xdr:to>
      <xdr:col>29</xdr:col>
      <xdr:colOff>495300</xdr:colOff>
      <xdr:row>34</xdr:row>
      <xdr:rowOff>77787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473861-720F-6676-AA8A-B9A06933DC87}"/>
            </a:ext>
            <a:ext uri="{147F2762-F138-4A5C-976F-8EAC2B608ADB}">
              <a16:predDERef xmlns:a16="http://schemas.microsoft.com/office/drawing/2014/main" pred="{43393BE6-9D28-1E46-941C-0C8E5CA25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485775</xdr:colOff>
      <xdr:row>18</xdr:row>
      <xdr:rowOff>142875</xdr:rowOff>
    </xdr:from>
    <xdr:to>
      <xdr:col>29</xdr:col>
      <xdr:colOff>485775</xdr:colOff>
      <xdr:row>33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75EAE8-6024-8196-FC5B-7CDE0F818345}"/>
            </a:ext>
            <a:ext uri="{147F2762-F138-4A5C-976F-8EAC2B608ADB}">
              <a16:predDERef xmlns:a16="http://schemas.microsoft.com/office/drawing/2014/main" pred="{EA473861-720F-6676-AA8A-B9A06933D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511174</xdr:colOff>
      <xdr:row>2</xdr:row>
      <xdr:rowOff>30162</xdr:rowOff>
    </xdr:from>
    <xdr:to>
      <xdr:col>24</xdr:col>
      <xdr:colOff>590549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C2B20-782A-1661-654D-75E4C7FDF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514350</xdr:colOff>
      <xdr:row>16</xdr:row>
      <xdr:rowOff>153987</xdr:rowOff>
    </xdr:from>
    <xdr:to>
      <xdr:col>25</xdr:col>
      <xdr:colOff>638175</xdr:colOff>
      <xdr:row>35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423E8-414B-34A4-C33E-7CE86B944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0</xdr:colOff>
      <xdr:row>12</xdr:row>
      <xdr:rowOff>141287</xdr:rowOff>
    </xdr:from>
    <xdr:to>
      <xdr:col>33</xdr:col>
      <xdr:colOff>533400</xdr:colOff>
      <xdr:row>27</xdr:row>
      <xdr:rowOff>163512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BE463D-0AC2-AC37-5444-BE49A730FCE6}"/>
            </a:ext>
            <a:ext uri="{147F2762-F138-4A5C-976F-8EAC2B608ADB}">
              <a16:predDERef xmlns:a16="http://schemas.microsoft.com/office/drawing/2014/main" pred="{986423E8-414B-34A4-C33E-7CE86B944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704849</xdr:colOff>
      <xdr:row>2</xdr:row>
      <xdr:rowOff>11112</xdr:rowOff>
    </xdr:from>
    <xdr:to>
      <xdr:col>24</xdr:col>
      <xdr:colOff>171450</xdr:colOff>
      <xdr:row>15</xdr:row>
      <xdr:rowOff>19051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A4EFA6-FF94-149A-4FF1-4A69450DA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619124</xdr:colOff>
      <xdr:row>17</xdr:row>
      <xdr:rowOff>74612</xdr:rowOff>
    </xdr:from>
    <xdr:to>
      <xdr:col>24</xdr:col>
      <xdr:colOff>152399</xdr:colOff>
      <xdr:row>32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FF177A-543A-5EC3-553D-F1FEEB21A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200025</xdr:colOff>
      <xdr:row>14</xdr:row>
      <xdr:rowOff>7937</xdr:rowOff>
    </xdr:from>
    <xdr:to>
      <xdr:col>30</xdr:col>
      <xdr:colOff>771525</xdr:colOff>
      <xdr:row>29</xdr:row>
      <xdr:rowOff>30162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0D7B01-2D0D-ED4B-26A0-78747FDE4567}"/>
            </a:ext>
            <a:ext uri="{147F2762-F138-4A5C-976F-8EAC2B608ADB}">
              <a16:predDERef xmlns:a16="http://schemas.microsoft.com/office/drawing/2014/main" pred="{64FF177A-543A-5EC3-553D-F1FEEB21A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4</xdr:row>
      <xdr:rowOff>180975</xdr:rowOff>
    </xdr:from>
    <xdr:to>
      <xdr:col>7</xdr:col>
      <xdr:colOff>542925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816A68-9B4A-2931-F175-92609BCF7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504825</xdr:colOff>
      <xdr:row>6</xdr:row>
      <xdr:rowOff>104775</xdr:rowOff>
    </xdr:from>
    <xdr:to>
      <xdr:col>16</xdr:col>
      <xdr:colOff>200025</xdr:colOff>
      <xdr:row>20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4ED6CD-BEB9-1335-3B3D-B0B693024EFA}"/>
            </a:ext>
            <a:ext uri="{147F2762-F138-4A5C-976F-8EAC2B608ADB}">
              <a16:predDERef xmlns:a16="http://schemas.microsoft.com/office/drawing/2014/main" pred="{DA816A68-9B4A-2931-F175-92609BCF7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552450</xdr:colOff>
      <xdr:row>6</xdr:row>
      <xdr:rowOff>28575</xdr:rowOff>
    </xdr:from>
    <xdr:to>
      <xdr:col>25</xdr:col>
      <xdr:colOff>247650</xdr:colOff>
      <xdr:row>20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1F3464-FAB6-7BA3-4DB1-C35B9ACC41C9}"/>
            </a:ext>
            <a:ext uri="{147F2762-F138-4A5C-976F-8EAC2B608ADB}">
              <a16:predDERef xmlns:a16="http://schemas.microsoft.com/office/drawing/2014/main" pred="{A54ED6CD-BEB9-1335-3B3D-B0B693024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!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"/>
  <sheetViews>
    <sheetView topLeftCell="S12" workbookViewId="0">
      <selection activeCell="Y17" sqref="Y17:AC18"/>
    </sheetView>
  </sheetViews>
  <sheetFormatPr defaultColWidth="11.42578125" defaultRowHeight="14.45"/>
  <cols>
    <col min="1" max="1" width="12.85546875" customWidth="1"/>
    <col min="2" max="2" width="11.28515625" customWidth="1"/>
  </cols>
  <sheetData>
    <row r="1" spans="1:12" ht="26.1">
      <c r="A1" s="10" t="s">
        <v>0</v>
      </c>
    </row>
    <row r="3" spans="1:12">
      <c r="A3" s="3" t="s">
        <v>1</v>
      </c>
      <c r="B3" t="s">
        <v>2</v>
      </c>
    </row>
    <row r="5" spans="1:12">
      <c r="A5" t="s">
        <v>3</v>
      </c>
      <c r="J5" t="s">
        <v>4</v>
      </c>
      <c r="K5" t="s">
        <v>5</v>
      </c>
      <c r="L5" t="s">
        <v>6</v>
      </c>
    </row>
    <row r="6" spans="1:12">
      <c r="A6" t="s">
        <v>7</v>
      </c>
      <c r="B6" s="4">
        <v>53</v>
      </c>
      <c r="C6" s="5">
        <f t="shared" ref="C6:C12" si="0">B6/$B$13</f>
        <v>0.37857142857142856</v>
      </c>
      <c r="D6" s="8">
        <f>SUM(C6:C8)</f>
        <v>0.64285714285714279</v>
      </c>
      <c r="E6" t="s">
        <v>8</v>
      </c>
      <c r="J6" t="s">
        <v>7</v>
      </c>
      <c r="K6" s="4">
        <v>53</v>
      </c>
      <c r="L6" s="5">
        <f t="shared" ref="L6:L12" si="1">K6/$B$13</f>
        <v>0.37857142857142856</v>
      </c>
    </row>
    <row r="7" spans="1:12">
      <c r="A7" t="s">
        <v>9</v>
      </c>
      <c r="B7" s="4">
        <v>27</v>
      </c>
      <c r="C7" s="5">
        <f t="shared" si="0"/>
        <v>0.19285714285714287</v>
      </c>
      <c r="J7" t="s">
        <v>9</v>
      </c>
      <c r="K7" s="4">
        <v>27</v>
      </c>
      <c r="L7" s="5">
        <f t="shared" si="1"/>
        <v>0.19285714285714287</v>
      </c>
    </row>
    <row r="8" spans="1:12">
      <c r="A8" t="s">
        <v>10</v>
      </c>
      <c r="B8" s="4">
        <v>10</v>
      </c>
      <c r="C8" s="5">
        <f t="shared" si="0"/>
        <v>7.1428571428571425E-2</v>
      </c>
      <c r="J8" t="s">
        <v>10</v>
      </c>
      <c r="K8" s="4">
        <v>10</v>
      </c>
      <c r="L8" s="5">
        <f t="shared" si="1"/>
        <v>7.1428571428571425E-2</v>
      </c>
    </row>
    <row r="9" spans="1:12">
      <c r="A9" t="s">
        <v>11</v>
      </c>
      <c r="B9" s="6">
        <v>9</v>
      </c>
      <c r="C9" s="7">
        <f t="shared" si="0"/>
        <v>6.4285714285714279E-2</v>
      </c>
      <c r="D9" s="9">
        <f>SUM(C9:C12)</f>
        <v>0.3571428571428571</v>
      </c>
      <c r="E9" t="s">
        <v>12</v>
      </c>
      <c r="J9" t="s">
        <v>11</v>
      </c>
      <c r="K9" s="6">
        <v>9</v>
      </c>
      <c r="L9" s="7">
        <f t="shared" si="1"/>
        <v>6.4285714285714279E-2</v>
      </c>
    </row>
    <row r="10" spans="1:12">
      <c r="A10" t="s">
        <v>13</v>
      </c>
      <c r="B10" s="6">
        <v>19</v>
      </c>
      <c r="C10" s="7">
        <f t="shared" si="0"/>
        <v>0.1357142857142857</v>
      </c>
      <c r="J10" t="s">
        <v>13</v>
      </c>
      <c r="K10" s="6">
        <v>19</v>
      </c>
      <c r="L10" s="7">
        <f t="shared" si="1"/>
        <v>0.1357142857142857</v>
      </c>
    </row>
    <row r="11" spans="1:12">
      <c r="A11" t="s">
        <v>14</v>
      </c>
      <c r="B11" s="6">
        <v>1</v>
      </c>
      <c r="C11" s="7">
        <f t="shared" si="0"/>
        <v>7.1428571428571426E-3</v>
      </c>
      <c r="J11" t="s">
        <v>14</v>
      </c>
      <c r="K11" s="6">
        <v>1</v>
      </c>
      <c r="L11" s="7">
        <f t="shared" si="1"/>
        <v>7.1428571428571426E-3</v>
      </c>
    </row>
    <row r="12" spans="1:12">
      <c r="A12" t="s">
        <v>15</v>
      </c>
      <c r="B12" s="6">
        <v>21</v>
      </c>
      <c r="C12" s="7">
        <f t="shared" si="0"/>
        <v>0.15</v>
      </c>
      <c r="J12" t="s">
        <v>15</v>
      </c>
      <c r="K12" s="6">
        <v>21</v>
      </c>
      <c r="L12" s="7">
        <f t="shared" si="1"/>
        <v>0.15</v>
      </c>
    </row>
    <row r="13" spans="1:12">
      <c r="A13" t="s">
        <v>16</v>
      </c>
      <c r="B13" s="1">
        <f>SUM(B6:B12)</f>
        <v>140</v>
      </c>
      <c r="C13" s="2">
        <f>SUM(C6:C12)</f>
        <v>0.99999999999999989</v>
      </c>
      <c r="D13" s="2">
        <f>SUM(D6:D12)</f>
        <v>0.99999999999999989</v>
      </c>
      <c r="J13" t="s">
        <v>17</v>
      </c>
      <c r="K13">
        <v>90</v>
      </c>
      <c r="L13" s="15">
        <v>0.64300000000000002</v>
      </c>
    </row>
    <row r="14" spans="1:12">
      <c r="J14" t="s">
        <v>18</v>
      </c>
      <c r="K14">
        <v>50</v>
      </c>
      <c r="L14" s="15">
        <v>0.35699999999999998</v>
      </c>
    </row>
    <row r="16" spans="1:12">
      <c r="A16" s="3" t="s">
        <v>19</v>
      </c>
      <c r="B16" t="s">
        <v>20</v>
      </c>
    </row>
    <row r="17" spans="1:29">
      <c r="Z17" t="s">
        <v>21</v>
      </c>
      <c r="AA17" t="s">
        <v>1</v>
      </c>
      <c r="AB17" t="s">
        <v>19</v>
      </c>
      <c r="AC17" t="s">
        <v>22</v>
      </c>
    </row>
    <row r="18" spans="1:29">
      <c r="A18" t="s">
        <v>3</v>
      </c>
      <c r="Y18" t="s">
        <v>23</v>
      </c>
      <c r="Z18" s="16">
        <v>0.32</v>
      </c>
      <c r="AA18" s="12">
        <v>0.35699999999999998</v>
      </c>
      <c r="AB18" s="12">
        <v>0.23</v>
      </c>
      <c r="AC18" s="12">
        <v>0.22</v>
      </c>
    </row>
    <row r="19" spans="1:29">
      <c r="A19" t="s">
        <v>7</v>
      </c>
      <c r="B19" s="4">
        <v>23</v>
      </c>
      <c r="C19" s="5">
        <f>B19/$B$26</f>
        <v>0.37704918032786883</v>
      </c>
      <c r="D19" s="8">
        <f>SUM(C19:C21)</f>
        <v>0.77049180327868849</v>
      </c>
      <c r="E19" t="s">
        <v>8</v>
      </c>
      <c r="J19" t="s">
        <v>4</v>
      </c>
      <c r="K19" t="s">
        <v>5</v>
      </c>
      <c r="L19" t="s">
        <v>6</v>
      </c>
    </row>
    <row r="20" spans="1:29">
      <c r="A20" t="s">
        <v>9</v>
      </c>
      <c r="B20" s="4">
        <v>15</v>
      </c>
      <c r="C20" s="5">
        <f t="shared" ref="C20:C25" si="2">B20/$B$26</f>
        <v>0.24590163934426229</v>
      </c>
      <c r="J20" t="s">
        <v>7</v>
      </c>
      <c r="K20" s="4">
        <v>23</v>
      </c>
      <c r="L20" s="5">
        <f>K20/$B$26</f>
        <v>0.37704918032786883</v>
      </c>
    </row>
    <row r="21" spans="1:29">
      <c r="A21" t="s">
        <v>10</v>
      </c>
      <c r="B21" s="4">
        <v>9</v>
      </c>
      <c r="C21" s="5">
        <f t="shared" si="2"/>
        <v>0.14754098360655737</v>
      </c>
      <c r="J21" t="s">
        <v>9</v>
      </c>
      <c r="K21" s="4">
        <v>15</v>
      </c>
      <c r="L21" s="5">
        <f t="shared" ref="L21:L26" si="3">K21/$B$26</f>
        <v>0.24590163934426229</v>
      </c>
    </row>
    <row r="22" spans="1:29">
      <c r="A22" t="s">
        <v>11</v>
      </c>
      <c r="B22" s="6">
        <v>4</v>
      </c>
      <c r="C22" s="7">
        <f t="shared" si="2"/>
        <v>6.5573770491803282E-2</v>
      </c>
      <c r="D22" s="9">
        <f>SUM(C22:C25)</f>
        <v>0.22950819672131148</v>
      </c>
      <c r="E22" t="s">
        <v>12</v>
      </c>
      <c r="J22" t="s">
        <v>10</v>
      </c>
      <c r="K22" s="4">
        <v>9</v>
      </c>
      <c r="L22" s="5">
        <f t="shared" si="3"/>
        <v>0.14754098360655737</v>
      </c>
    </row>
    <row r="23" spans="1:29">
      <c r="A23" t="s">
        <v>13</v>
      </c>
      <c r="B23" s="6">
        <v>3</v>
      </c>
      <c r="C23" s="7">
        <f t="shared" si="2"/>
        <v>4.9180327868852458E-2</v>
      </c>
      <c r="J23" t="s">
        <v>11</v>
      </c>
      <c r="K23" s="6">
        <v>4</v>
      </c>
      <c r="L23" s="7">
        <f t="shared" si="3"/>
        <v>6.5573770491803282E-2</v>
      </c>
    </row>
    <row r="24" spans="1:29">
      <c r="A24" t="s">
        <v>15</v>
      </c>
      <c r="B24" s="6">
        <v>4</v>
      </c>
      <c r="C24" s="7">
        <f t="shared" si="2"/>
        <v>6.5573770491803282E-2</v>
      </c>
      <c r="J24" t="s">
        <v>13</v>
      </c>
      <c r="K24" s="6">
        <v>3</v>
      </c>
      <c r="L24" s="7">
        <f t="shared" si="3"/>
        <v>4.9180327868852458E-2</v>
      </c>
    </row>
    <row r="25" spans="1:29">
      <c r="A25" t="s">
        <v>24</v>
      </c>
      <c r="B25" s="6">
        <v>3</v>
      </c>
      <c r="C25" s="7">
        <f t="shared" si="2"/>
        <v>4.9180327868852458E-2</v>
      </c>
      <c r="J25" t="s">
        <v>15</v>
      </c>
      <c r="K25" s="6">
        <v>4</v>
      </c>
      <c r="L25" s="7">
        <f t="shared" si="3"/>
        <v>6.5573770491803282E-2</v>
      </c>
    </row>
    <row r="26" spans="1:29">
      <c r="A26" t="s">
        <v>16</v>
      </c>
      <c r="B26" s="1">
        <f>SUM(B19:B25)</f>
        <v>61</v>
      </c>
      <c r="C26" s="2">
        <f>SUM(C19:C25)</f>
        <v>0.99999999999999978</v>
      </c>
      <c r="D26" s="2">
        <f>SUM(D19:D25)</f>
        <v>1</v>
      </c>
      <c r="J26" t="s">
        <v>24</v>
      </c>
      <c r="K26" s="6">
        <v>3</v>
      </c>
      <c r="L26" s="7">
        <f t="shared" si="3"/>
        <v>4.9180327868852458E-2</v>
      </c>
    </row>
    <row r="27" spans="1:29">
      <c r="J27" t="s">
        <v>17</v>
      </c>
      <c r="K27">
        <v>47</v>
      </c>
      <c r="L27" s="15">
        <v>0.77</v>
      </c>
    </row>
    <row r="28" spans="1:29">
      <c r="J28" t="s">
        <v>18</v>
      </c>
      <c r="K28">
        <v>14</v>
      </c>
      <c r="L28" s="15">
        <v>0.23</v>
      </c>
    </row>
  </sheetData>
  <pageMargins left="0.7" right="0.7" top="0.75" bottom="0.75" header="0.3" footer="0.3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943B-9F8D-4E3B-95D3-6F0AF3E8C62C}">
  <dimension ref="A1:AG25"/>
  <sheetViews>
    <sheetView topLeftCell="Q1" workbookViewId="0">
      <selection activeCell="AC10" sqref="AC10:AG11"/>
    </sheetView>
  </sheetViews>
  <sheetFormatPr defaultColWidth="11.42578125" defaultRowHeight="14.45"/>
  <cols>
    <col min="1" max="1" width="12.85546875" customWidth="1"/>
    <col min="2" max="2" width="11.28515625" customWidth="1"/>
  </cols>
  <sheetData>
    <row r="1" spans="1:33" ht="26.1">
      <c r="A1" s="10" t="s">
        <v>25</v>
      </c>
    </row>
    <row r="3" spans="1:33">
      <c r="A3" s="3" t="s">
        <v>1</v>
      </c>
    </row>
    <row r="5" spans="1:33">
      <c r="A5" t="s">
        <v>3</v>
      </c>
      <c r="L5" t="s">
        <v>4</v>
      </c>
      <c r="M5" t="s">
        <v>5</v>
      </c>
      <c r="N5" t="s">
        <v>6</v>
      </c>
    </row>
    <row r="6" spans="1:33">
      <c r="A6" t="s">
        <v>7</v>
      </c>
      <c r="B6" s="4">
        <v>17</v>
      </c>
      <c r="C6" s="5">
        <f t="shared" ref="C6:C11" si="0">B6/$B$12</f>
        <v>0.47222222222222221</v>
      </c>
      <c r="D6" s="8">
        <f>SUM(C6:C8)</f>
        <v>0.66666666666666663</v>
      </c>
      <c r="E6" t="s">
        <v>8</v>
      </c>
      <c r="L6" t="s">
        <v>7</v>
      </c>
      <c r="M6" s="4">
        <v>17</v>
      </c>
      <c r="N6" s="5">
        <f t="shared" ref="N6:N11" si="1">M6/$B$12</f>
        <v>0.47222222222222221</v>
      </c>
    </row>
    <row r="7" spans="1:33">
      <c r="A7" t="s">
        <v>9</v>
      </c>
      <c r="B7" s="4">
        <v>6</v>
      </c>
      <c r="C7" s="5">
        <f t="shared" si="0"/>
        <v>0.16666666666666666</v>
      </c>
      <c r="L7" t="s">
        <v>9</v>
      </c>
      <c r="M7" s="4">
        <v>6</v>
      </c>
      <c r="N7" s="5">
        <f t="shared" si="1"/>
        <v>0.16666666666666666</v>
      </c>
    </row>
    <row r="8" spans="1:33">
      <c r="A8" t="s">
        <v>10</v>
      </c>
      <c r="B8" s="4">
        <v>1</v>
      </c>
      <c r="C8" s="5">
        <f t="shared" si="0"/>
        <v>2.7777777777777776E-2</v>
      </c>
      <c r="L8" t="s">
        <v>10</v>
      </c>
      <c r="M8" s="4">
        <v>1</v>
      </c>
      <c r="N8" s="5">
        <f t="shared" si="1"/>
        <v>2.7777777777777776E-2</v>
      </c>
    </row>
    <row r="9" spans="1:33">
      <c r="A9" t="s">
        <v>11</v>
      </c>
      <c r="B9" s="6">
        <v>0</v>
      </c>
      <c r="C9" s="7">
        <f t="shared" si="0"/>
        <v>0</v>
      </c>
      <c r="D9" s="9">
        <f>SUM(C9:C11)</f>
        <v>0.33333333333333331</v>
      </c>
      <c r="E9" t="s">
        <v>12</v>
      </c>
      <c r="L9" t="s">
        <v>11</v>
      </c>
      <c r="M9" s="6">
        <v>0</v>
      </c>
      <c r="N9" s="7">
        <f t="shared" si="1"/>
        <v>0</v>
      </c>
    </row>
    <row r="10" spans="1:33">
      <c r="A10" t="s">
        <v>13</v>
      </c>
      <c r="B10" s="6">
        <v>6</v>
      </c>
      <c r="C10" s="7">
        <f t="shared" si="0"/>
        <v>0.16666666666666666</v>
      </c>
      <c r="L10" t="s">
        <v>13</v>
      </c>
      <c r="M10" s="6">
        <v>6</v>
      </c>
      <c r="N10" s="7">
        <f t="shared" si="1"/>
        <v>0.16666666666666666</v>
      </c>
      <c r="AD10" t="s">
        <v>21</v>
      </c>
      <c r="AE10" t="s">
        <v>1</v>
      </c>
      <c r="AF10" t="s">
        <v>19</v>
      </c>
      <c r="AG10" t="s">
        <v>22</v>
      </c>
    </row>
    <row r="11" spans="1:33">
      <c r="A11" t="s">
        <v>15</v>
      </c>
      <c r="B11" s="6">
        <v>6</v>
      </c>
      <c r="C11" s="7">
        <f t="shared" si="0"/>
        <v>0.16666666666666666</v>
      </c>
      <c r="L11" t="s">
        <v>15</v>
      </c>
      <c r="M11" s="6">
        <v>6</v>
      </c>
      <c r="N11" s="7">
        <f t="shared" si="1"/>
        <v>0.16666666666666666</v>
      </c>
      <c r="AC11" t="s">
        <v>23</v>
      </c>
      <c r="AD11" s="17">
        <v>0.35</v>
      </c>
      <c r="AE11" s="17">
        <v>0.33300000000000002</v>
      </c>
      <c r="AF11" s="17">
        <v>0.153</v>
      </c>
      <c r="AG11" s="12">
        <v>0.25</v>
      </c>
    </row>
    <row r="12" spans="1:33">
      <c r="A12" t="s">
        <v>16</v>
      </c>
      <c r="B12" s="11">
        <f>SUM(B6:B11)</f>
        <v>36</v>
      </c>
      <c r="C12" s="2">
        <f>SUM(C6:C11)</f>
        <v>0.99999999999999989</v>
      </c>
      <c r="D12" s="2">
        <f>SUM(D6:D11)</f>
        <v>1</v>
      </c>
      <c r="L12" t="s">
        <v>17</v>
      </c>
      <c r="M12">
        <v>24</v>
      </c>
      <c r="N12" s="15">
        <v>0.66700000000000004</v>
      </c>
    </row>
    <row r="13" spans="1:33">
      <c r="L13" t="s">
        <v>18</v>
      </c>
      <c r="M13">
        <v>12</v>
      </c>
      <c r="N13" s="15">
        <v>0.33300000000000002</v>
      </c>
    </row>
    <row r="15" spans="1:33">
      <c r="A15" s="3" t="s">
        <v>19</v>
      </c>
    </row>
    <row r="17" spans="1:14">
      <c r="A17" t="s">
        <v>3</v>
      </c>
      <c r="L17" t="s">
        <v>4</v>
      </c>
      <c r="M17" t="s">
        <v>5</v>
      </c>
      <c r="N17" t="s">
        <v>6</v>
      </c>
    </row>
    <row r="18" spans="1:14">
      <c r="A18" t="s">
        <v>7</v>
      </c>
      <c r="B18" s="4">
        <v>61</v>
      </c>
      <c r="C18" s="5">
        <f t="shared" ref="C18:C23" si="2">B18/$B$24</f>
        <v>0.71764705882352942</v>
      </c>
      <c r="D18" s="8">
        <f>SUM(C18:C20)</f>
        <v>0.84705882352941186</v>
      </c>
      <c r="E18" t="s">
        <v>8</v>
      </c>
      <c r="L18" t="s">
        <v>7</v>
      </c>
      <c r="M18" s="4">
        <v>61</v>
      </c>
      <c r="N18" s="5">
        <f t="shared" ref="N18:N23" si="3">M18/$B$24</f>
        <v>0.71764705882352942</v>
      </c>
    </row>
    <row r="19" spans="1:14">
      <c r="A19" t="s">
        <v>9</v>
      </c>
      <c r="B19" s="4">
        <v>7</v>
      </c>
      <c r="C19" s="5">
        <f t="shared" si="2"/>
        <v>8.2352941176470587E-2</v>
      </c>
      <c r="L19" t="s">
        <v>9</v>
      </c>
      <c r="M19" s="4">
        <v>7</v>
      </c>
      <c r="N19" s="5">
        <f t="shared" si="3"/>
        <v>8.2352941176470587E-2</v>
      </c>
    </row>
    <row r="20" spans="1:14">
      <c r="A20" t="s">
        <v>10</v>
      </c>
      <c r="B20" s="4">
        <v>4</v>
      </c>
      <c r="C20" s="5">
        <f t="shared" si="2"/>
        <v>4.7058823529411764E-2</v>
      </c>
      <c r="L20" t="s">
        <v>10</v>
      </c>
      <c r="M20" s="4">
        <v>4</v>
      </c>
      <c r="N20" s="5">
        <f t="shared" si="3"/>
        <v>4.7058823529411764E-2</v>
      </c>
    </row>
    <row r="21" spans="1:14">
      <c r="A21" t="s">
        <v>11</v>
      </c>
      <c r="B21" s="6">
        <v>0</v>
      </c>
      <c r="C21" s="7">
        <f t="shared" si="2"/>
        <v>0</v>
      </c>
      <c r="D21" s="9">
        <f>SUM(C21:C23)</f>
        <v>0.15294117647058825</v>
      </c>
      <c r="E21" t="s">
        <v>12</v>
      </c>
      <c r="L21" t="s">
        <v>11</v>
      </c>
      <c r="M21" s="6">
        <v>0</v>
      </c>
      <c r="N21" s="7">
        <f t="shared" si="3"/>
        <v>0</v>
      </c>
    </row>
    <row r="22" spans="1:14">
      <c r="A22" t="s">
        <v>13</v>
      </c>
      <c r="B22" s="6">
        <v>3</v>
      </c>
      <c r="C22" s="7">
        <f t="shared" si="2"/>
        <v>3.5294117647058823E-2</v>
      </c>
      <c r="L22" t="s">
        <v>13</v>
      </c>
      <c r="M22" s="6">
        <v>3</v>
      </c>
      <c r="N22" s="7">
        <f t="shared" si="3"/>
        <v>3.5294117647058823E-2</v>
      </c>
    </row>
    <row r="23" spans="1:14">
      <c r="A23" t="s">
        <v>15</v>
      </c>
      <c r="B23" s="6">
        <v>10</v>
      </c>
      <c r="C23" s="7">
        <f t="shared" si="2"/>
        <v>0.11764705882352941</v>
      </c>
      <c r="L23" t="s">
        <v>15</v>
      </c>
      <c r="M23" s="6">
        <v>10</v>
      </c>
      <c r="N23" s="7">
        <f t="shared" si="3"/>
        <v>0.11764705882352941</v>
      </c>
    </row>
    <row r="24" spans="1:14">
      <c r="A24" t="s">
        <v>16</v>
      </c>
      <c r="B24">
        <f>SUM(B18:B23)</f>
        <v>85</v>
      </c>
      <c r="C24" s="2">
        <f>SUM(C18:C23)</f>
        <v>1</v>
      </c>
      <c r="D24" s="2">
        <f>SUM(D18:D23)</f>
        <v>1</v>
      </c>
      <c r="L24" t="s">
        <v>17</v>
      </c>
      <c r="M24">
        <v>72</v>
      </c>
      <c r="N24" s="15">
        <v>0.84699999999999998</v>
      </c>
    </row>
    <row r="25" spans="1:14">
      <c r="L25" t="s">
        <v>18</v>
      </c>
      <c r="M25">
        <v>13</v>
      </c>
      <c r="N25" s="15">
        <v>0.153</v>
      </c>
    </row>
  </sheetData>
  <pageMargins left="0.7" right="0.7" top="0.75" bottom="0.75" header="0.3" footer="0.3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AAD9-515F-4562-906C-D9A3836A0CF1}">
  <dimension ref="A1:AE29"/>
  <sheetViews>
    <sheetView topLeftCell="L1" workbookViewId="0">
      <selection activeCell="AA10" sqref="AA10:AE11"/>
    </sheetView>
  </sheetViews>
  <sheetFormatPr defaultColWidth="11.42578125" defaultRowHeight="14.45"/>
  <cols>
    <col min="1" max="1" width="12.85546875" customWidth="1"/>
    <col min="2" max="2" width="11.28515625" customWidth="1"/>
    <col min="13" max="13" width="18.5703125" customWidth="1"/>
  </cols>
  <sheetData>
    <row r="1" spans="1:31" ht="26.1">
      <c r="A1" s="10" t="s">
        <v>26</v>
      </c>
    </row>
    <row r="3" spans="1:31">
      <c r="A3" s="3" t="s">
        <v>1</v>
      </c>
    </row>
    <row r="4" spans="1:31">
      <c r="L4" t="s">
        <v>4</v>
      </c>
      <c r="M4" t="s">
        <v>5</v>
      </c>
      <c r="N4" t="s">
        <v>6</v>
      </c>
    </row>
    <row r="5" spans="1:31">
      <c r="A5" t="s">
        <v>3</v>
      </c>
      <c r="L5" t="s">
        <v>7</v>
      </c>
      <c r="M5" s="4">
        <v>32</v>
      </c>
      <c r="N5" s="5">
        <f t="shared" ref="N5:N10" si="0">M5/$B$12</f>
        <v>0.53333333333333333</v>
      </c>
      <c r="O5" s="12"/>
    </row>
    <row r="6" spans="1:31">
      <c r="A6" t="s">
        <v>7</v>
      </c>
      <c r="B6" s="4">
        <v>32</v>
      </c>
      <c r="C6" s="5">
        <f t="shared" ref="C6:C11" si="1">B6/$B$12</f>
        <v>0.53333333333333333</v>
      </c>
      <c r="D6" s="8">
        <f>SUM(C6:C8)</f>
        <v>0.8666666666666667</v>
      </c>
      <c r="E6" t="s">
        <v>8</v>
      </c>
      <c r="L6" t="s">
        <v>9</v>
      </c>
      <c r="M6" s="4">
        <v>12</v>
      </c>
      <c r="N6" s="5">
        <f t="shared" si="0"/>
        <v>0.2</v>
      </c>
      <c r="O6" s="12"/>
    </row>
    <row r="7" spans="1:31">
      <c r="A7" t="s">
        <v>9</v>
      </c>
      <c r="B7" s="4">
        <v>12</v>
      </c>
      <c r="C7" s="5">
        <f t="shared" si="1"/>
        <v>0.2</v>
      </c>
      <c r="L7" t="s">
        <v>10</v>
      </c>
      <c r="M7" s="4">
        <v>8</v>
      </c>
      <c r="N7" s="5">
        <f t="shared" si="0"/>
        <v>0.13333333333333333</v>
      </c>
      <c r="O7" s="12"/>
    </row>
    <row r="8" spans="1:31">
      <c r="A8" t="s">
        <v>10</v>
      </c>
      <c r="B8" s="4">
        <v>8</v>
      </c>
      <c r="C8" s="5">
        <f t="shared" si="1"/>
        <v>0.13333333333333333</v>
      </c>
      <c r="L8" t="s">
        <v>11</v>
      </c>
      <c r="M8" s="6">
        <v>3</v>
      </c>
      <c r="N8" s="7">
        <f t="shared" si="0"/>
        <v>0.05</v>
      </c>
      <c r="O8" s="12"/>
    </row>
    <row r="9" spans="1:31">
      <c r="A9" t="s">
        <v>11</v>
      </c>
      <c r="B9" s="6">
        <v>3</v>
      </c>
      <c r="C9" s="7">
        <f t="shared" si="1"/>
        <v>0.05</v>
      </c>
      <c r="D9" s="9">
        <f>SUM(C9:C11)</f>
        <v>0.13333333333333333</v>
      </c>
      <c r="E9" t="s">
        <v>12</v>
      </c>
      <c r="L9" t="s">
        <v>13</v>
      </c>
      <c r="M9" s="6">
        <v>1</v>
      </c>
      <c r="N9" s="7">
        <f t="shared" si="0"/>
        <v>1.6666666666666666E-2</v>
      </c>
      <c r="O9" s="12"/>
    </row>
    <row r="10" spans="1:31">
      <c r="A10" t="s">
        <v>13</v>
      </c>
      <c r="B10" s="6">
        <v>1</v>
      </c>
      <c r="C10" s="7">
        <f t="shared" si="1"/>
        <v>1.6666666666666666E-2</v>
      </c>
      <c r="L10" t="s">
        <v>15</v>
      </c>
      <c r="M10" s="6">
        <v>4</v>
      </c>
      <c r="N10" s="7">
        <f t="shared" si="0"/>
        <v>6.6666666666666666E-2</v>
      </c>
      <c r="O10" s="12"/>
      <c r="AB10" t="s">
        <v>21</v>
      </c>
      <c r="AC10" t="s">
        <v>1</v>
      </c>
      <c r="AD10" t="s">
        <v>19</v>
      </c>
      <c r="AE10" t="s">
        <v>22</v>
      </c>
    </row>
    <row r="11" spans="1:31">
      <c r="A11" t="s">
        <v>15</v>
      </c>
      <c r="B11" s="6">
        <v>4</v>
      </c>
      <c r="C11" s="7">
        <f t="shared" si="1"/>
        <v>6.6666666666666666E-2</v>
      </c>
      <c r="L11" t="s">
        <v>17</v>
      </c>
      <c r="M11">
        <v>52</v>
      </c>
      <c r="N11" s="12">
        <v>0.86699999999999999</v>
      </c>
      <c r="AA11" t="s">
        <v>23</v>
      </c>
      <c r="AB11" s="17">
        <v>0.27</v>
      </c>
      <c r="AC11" s="18">
        <v>0.13300000000000001</v>
      </c>
      <c r="AD11" s="17">
        <v>0</v>
      </c>
      <c r="AE11" s="12">
        <v>0.17</v>
      </c>
    </row>
    <row r="12" spans="1:31">
      <c r="A12" t="s">
        <v>16</v>
      </c>
      <c r="B12" s="11">
        <f>SUM(B6:B11)</f>
        <v>60</v>
      </c>
      <c r="C12" s="2">
        <f>SUM(C6:C11)</f>
        <v>1.0000000000000002</v>
      </c>
      <c r="D12" s="2">
        <f>SUM(D6:D11)</f>
        <v>1</v>
      </c>
      <c r="L12" t="s">
        <v>18</v>
      </c>
      <c r="M12">
        <v>8</v>
      </c>
      <c r="N12" s="12">
        <v>0.13300000000000001</v>
      </c>
    </row>
    <row r="15" spans="1:31">
      <c r="A15" s="3" t="s">
        <v>19</v>
      </c>
      <c r="L15" s="13"/>
      <c r="M15" s="13"/>
      <c r="N15" s="14"/>
    </row>
    <row r="16" spans="1:31">
      <c r="L16" s="13"/>
      <c r="M16" s="13"/>
      <c r="N16" s="14"/>
    </row>
    <row r="17" spans="1:14">
      <c r="A17" t="s">
        <v>3</v>
      </c>
      <c r="L17" s="13"/>
      <c r="M17" s="13"/>
      <c r="N17" s="14"/>
    </row>
    <row r="18" spans="1:14">
      <c r="A18" t="s">
        <v>7</v>
      </c>
      <c r="B18" s="4">
        <v>10</v>
      </c>
      <c r="C18" s="5">
        <f t="shared" ref="C18:C23" si="2">B18/$B$24</f>
        <v>0.5</v>
      </c>
      <c r="D18" s="8">
        <f>SUM(C18:C20)</f>
        <v>1</v>
      </c>
      <c r="E18" t="s">
        <v>8</v>
      </c>
      <c r="N18" s="12"/>
    </row>
    <row r="19" spans="1:14">
      <c r="A19" t="s">
        <v>9</v>
      </c>
      <c r="B19" s="4">
        <v>6</v>
      </c>
      <c r="C19" s="5">
        <f t="shared" si="2"/>
        <v>0.3</v>
      </c>
    </row>
    <row r="20" spans="1:14">
      <c r="A20" t="s">
        <v>10</v>
      </c>
      <c r="B20" s="4">
        <v>4</v>
      </c>
      <c r="C20" s="5">
        <f t="shared" si="2"/>
        <v>0.2</v>
      </c>
    </row>
    <row r="21" spans="1:14">
      <c r="A21" t="s">
        <v>11</v>
      </c>
      <c r="B21" s="6">
        <v>0</v>
      </c>
      <c r="C21" s="7">
        <f t="shared" si="2"/>
        <v>0</v>
      </c>
      <c r="D21" s="9">
        <f>SUM(C21:C23)</f>
        <v>0</v>
      </c>
      <c r="E21" t="s">
        <v>12</v>
      </c>
      <c r="L21" t="s">
        <v>4</v>
      </c>
      <c r="M21" t="s">
        <v>5</v>
      </c>
      <c r="N21" t="s">
        <v>6</v>
      </c>
    </row>
    <row r="22" spans="1:14">
      <c r="A22" t="s">
        <v>13</v>
      </c>
      <c r="B22" s="6">
        <v>0</v>
      </c>
      <c r="C22" s="7">
        <f t="shared" si="2"/>
        <v>0</v>
      </c>
      <c r="L22" t="s">
        <v>7</v>
      </c>
      <c r="M22" s="4">
        <v>10</v>
      </c>
      <c r="N22" s="5">
        <f t="shared" ref="N22:N27" si="3">M22/$B$24</f>
        <v>0.5</v>
      </c>
    </row>
    <row r="23" spans="1:14">
      <c r="A23" t="s">
        <v>15</v>
      </c>
      <c r="B23" s="6">
        <v>0</v>
      </c>
      <c r="C23" s="7">
        <f t="shared" si="2"/>
        <v>0</v>
      </c>
      <c r="L23" t="s">
        <v>9</v>
      </c>
      <c r="M23" s="4">
        <v>6</v>
      </c>
      <c r="N23" s="5">
        <f t="shared" si="3"/>
        <v>0.3</v>
      </c>
    </row>
    <row r="24" spans="1:14">
      <c r="A24" t="s">
        <v>16</v>
      </c>
      <c r="B24" s="11">
        <f>SUM(B18:B23)</f>
        <v>20</v>
      </c>
      <c r="C24" s="2">
        <f>SUM(C18:C23)</f>
        <v>1</v>
      </c>
      <c r="D24" s="2">
        <f>SUM(D18:D23)</f>
        <v>1</v>
      </c>
      <c r="L24" t="s">
        <v>10</v>
      </c>
      <c r="M24" s="4">
        <v>4</v>
      </c>
      <c r="N24" s="5">
        <f t="shared" si="3"/>
        <v>0.2</v>
      </c>
    </row>
    <row r="25" spans="1:14">
      <c r="L25" t="s">
        <v>11</v>
      </c>
      <c r="M25" s="6">
        <v>0</v>
      </c>
      <c r="N25" s="7">
        <f t="shared" si="3"/>
        <v>0</v>
      </c>
    </row>
    <row r="26" spans="1:14">
      <c r="L26" t="s">
        <v>13</v>
      </c>
      <c r="M26" s="6">
        <v>0</v>
      </c>
      <c r="N26" s="7">
        <f t="shared" si="3"/>
        <v>0</v>
      </c>
    </row>
    <row r="27" spans="1:14">
      <c r="L27" t="s">
        <v>15</v>
      </c>
      <c r="M27" s="6">
        <v>0</v>
      </c>
      <c r="N27" s="7">
        <f t="shared" si="3"/>
        <v>0</v>
      </c>
    </row>
    <row r="28" spans="1:14">
      <c r="L28" t="s">
        <v>17</v>
      </c>
      <c r="M28">
        <v>20</v>
      </c>
      <c r="N28" s="12">
        <v>1</v>
      </c>
    </row>
    <row r="29" spans="1:14">
      <c r="L29" t="s">
        <v>18</v>
      </c>
      <c r="M29">
        <v>0</v>
      </c>
      <c r="N29" s="12">
        <v>0</v>
      </c>
    </row>
  </sheetData>
  <pageMargins left="0.7" right="0.7" top="0.75" bottom="0.75" header="0.3" footer="0.3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EB56-D3E6-42F0-8FF0-D6920B50A394}">
  <dimension ref="A1:W3"/>
  <sheetViews>
    <sheetView tabSelected="1" workbookViewId="0">
      <selection activeCell="U26" sqref="U26"/>
    </sheetView>
  </sheetViews>
  <sheetFormatPr defaultRowHeight="15"/>
  <sheetData>
    <row r="1" spans="1:23">
      <c r="B1" t="s">
        <v>27</v>
      </c>
      <c r="L1" t="s">
        <v>28</v>
      </c>
      <c r="U1" t="s">
        <v>29</v>
      </c>
    </row>
    <row r="2" spans="1:23">
      <c r="B2" t="s">
        <v>21</v>
      </c>
      <c r="C2" t="s">
        <v>1</v>
      </c>
      <c r="D2" t="s">
        <v>19</v>
      </c>
      <c r="K2" t="s">
        <v>21</v>
      </c>
      <c r="L2" t="s">
        <v>1</v>
      </c>
      <c r="M2" t="s">
        <v>19</v>
      </c>
      <c r="T2" t="s">
        <v>21</v>
      </c>
      <c r="U2" t="s">
        <v>1</v>
      </c>
      <c r="V2" t="s">
        <v>19</v>
      </c>
    </row>
    <row r="3" spans="1:23">
      <c r="A3" t="s">
        <v>23</v>
      </c>
      <c r="B3" s="16">
        <v>0.32</v>
      </c>
      <c r="C3" s="12">
        <v>0.35699999999999998</v>
      </c>
      <c r="D3" s="12">
        <v>0.23</v>
      </c>
      <c r="E3" s="12"/>
      <c r="J3" t="s">
        <v>23</v>
      </c>
      <c r="K3" s="17">
        <v>0.35</v>
      </c>
      <c r="L3" s="17">
        <v>0.33300000000000002</v>
      </c>
      <c r="M3" s="17">
        <v>0.153</v>
      </c>
      <c r="N3" s="12"/>
      <c r="S3" t="s">
        <v>23</v>
      </c>
      <c r="T3" s="17">
        <v>0.27</v>
      </c>
      <c r="U3" s="18">
        <v>0.13300000000000001</v>
      </c>
      <c r="V3" s="17">
        <v>0</v>
      </c>
      <c r="W3" s="1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70AD-2A86-4316-811F-9081F4D3EDD2}">
  <dimension ref="B3:C8"/>
  <sheetViews>
    <sheetView workbookViewId="0">
      <selection activeCell="J10" sqref="J10"/>
    </sheetView>
  </sheetViews>
  <sheetFormatPr defaultRowHeight="15"/>
  <cols>
    <col min="2" max="2" width="50.7109375" customWidth="1"/>
  </cols>
  <sheetData>
    <row r="3" spans="2:3">
      <c r="B3" t="s">
        <v>30</v>
      </c>
      <c r="C3">
        <v>5</v>
      </c>
    </row>
    <row r="4" spans="2:3">
      <c r="B4" t="s">
        <v>31</v>
      </c>
      <c r="C4">
        <v>2</v>
      </c>
    </row>
    <row r="5" spans="2:3">
      <c r="B5" t="s">
        <v>32</v>
      </c>
      <c r="C5">
        <v>5</v>
      </c>
    </row>
    <row r="6" spans="2:3">
      <c r="B6" t="s">
        <v>33</v>
      </c>
      <c r="C6">
        <v>16</v>
      </c>
    </row>
    <row r="7" spans="2:3">
      <c r="B7" t="s">
        <v>34</v>
      </c>
      <c r="C7">
        <v>19</v>
      </c>
    </row>
    <row r="8" spans="2:3">
      <c r="B8" t="s">
        <v>35</v>
      </c>
      <c r="C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Musfikur Rahaman</cp:lastModifiedBy>
  <cp:revision/>
  <dcterms:created xsi:type="dcterms:W3CDTF">2023-01-27T23:37:16Z</dcterms:created>
  <dcterms:modified xsi:type="dcterms:W3CDTF">2023-05-19T17:45:22Z</dcterms:modified>
  <cp:category/>
  <cp:contentStatus/>
</cp:coreProperties>
</file>